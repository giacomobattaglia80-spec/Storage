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e Commes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1F3A5F"/>
      <sz val="15"/>
    </font>
    <font>
      <name val="Calibri"/>
      <i val="1"/>
      <color rgb="00666666"/>
      <sz val="9.5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EDF1F6"/>
      </patternFill>
    </fill>
  </fills>
  <borders count="2">
    <border>
      <left/>
      <right/>
      <top/>
      <bottom/>
      <diagonal/>
    </border>
    <border>
      <left style="thin">
        <color rgb="00C9D2DD"/>
      </left>
      <right style="thin">
        <color rgb="00C9D2DD"/>
      </right>
      <top style="thin">
        <color rgb="00C9D2DD"/>
      </top>
      <bottom style="thin">
        <color rgb="00C9D2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3" fontId="4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3" fontId="4" fillId="4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dxfs count="5">
    <dxf>
      <font>
        <b val="1"/>
        <color rgb="002E7D4F"/>
      </font>
    </dxf>
    <dxf>
      <font>
        <b val="1"/>
        <color rgb="00C8102E"/>
      </font>
    </dxf>
    <dxf>
      <font>
        <b val="1"/>
        <color rgb="00C8102E"/>
      </font>
      <fill>
        <patternFill patternType="solid">
          <fgColor rgb="00F8CBCB"/>
        </patternFill>
      </fill>
    </dxf>
    <dxf>
      <font>
        <b val="1"/>
        <color rgb="009A6700"/>
      </font>
      <fill>
        <patternFill patternType="solid">
          <fgColor rgb="00FCE4B6"/>
        </patternFill>
      </fill>
    </dxf>
    <dxf>
      <font>
        <b val="1"/>
        <color rgb="002E7D4F"/>
      </font>
      <fill>
        <patternFill patternType="solid">
          <fgColor rgb="00CDEC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4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5" customWidth="1" min="3" max="3"/>
    <col width="13" customWidth="1" min="4" max="4"/>
    <col width="15" customWidth="1" min="5" max="5"/>
    <col width="42" customWidth="1" min="6" max="6"/>
  </cols>
  <sheetData>
    <row r="1">
      <c r="B1" s="1" t="inlineStr">
        <is>
          <t>Simulatore Margine di Commessa — project margin</t>
        </is>
      </c>
    </row>
    <row r="2">
      <c r="B2" s="2" t="inlineStr">
        <is>
          <t>Modifica SOLO le celle gialle (INPUT): tutto il resto si aggiorna in automatico. Importi in € migliaia.</t>
        </is>
      </c>
    </row>
    <row r="4">
      <c r="B4" s="3" t="inlineStr">
        <is>
          <t>INPUT  (celle gialle)</t>
        </is>
      </c>
    </row>
    <row r="5">
      <c r="B5" s="4" t="inlineStr">
        <is>
          <t>Prezzo commessa (ricavi totali)</t>
        </is>
      </c>
      <c r="C5" s="5" t="n">
        <v>10000</v>
      </c>
      <c r="D5" s="6" t="inlineStr">
        <is>
          <t>€ migliaia</t>
        </is>
      </c>
    </row>
    <row r="6">
      <c r="B6" s="4" t="inlineStr">
        <is>
          <t>Budget costi iniziale (offerta)</t>
        </is>
      </c>
      <c r="C6" s="5" t="n">
        <v>8000</v>
      </c>
      <c r="D6" s="6" t="inlineStr">
        <is>
          <t>€ migliaia</t>
        </is>
      </c>
    </row>
    <row r="7">
      <c r="B7" s="4" t="inlineStr">
        <is>
          <t>Costi sostenuti a oggi</t>
        </is>
      </c>
      <c r="C7" s="5" t="n">
        <v>4300</v>
      </c>
      <c r="D7" s="6" t="inlineStr">
        <is>
          <t>€ migliaia</t>
        </is>
      </c>
    </row>
    <row r="8">
      <c r="B8" s="4" t="inlineStr">
        <is>
          <t>Costi a finire — ETC (stima)</t>
        </is>
      </c>
      <c r="C8" s="5" t="n">
        <v>4300</v>
      </c>
      <c r="D8" s="6" t="inlineStr">
        <is>
          <t>€ migliaia</t>
        </is>
      </c>
    </row>
    <row r="9">
      <c r="B9" s="4" t="inlineStr">
        <is>
          <t>Fatturato a oggi (SAL emessi)</t>
        </is>
      </c>
      <c r="C9" s="5" t="n">
        <v>3000</v>
      </c>
      <c r="D9" s="6" t="inlineStr">
        <is>
          <t>€ migliaia</t>
        </is>
      </c>
    </row>
    <row r="10">
      <c r="B10" s="4" t="inlineStr">
        <is>
          <t>Acconti incassati (cassa)</t>
        </is>
      </c>
      <c r="C10" s="5" t="n">
        <v>3000</v>
      </c>
      <c r="D10" s="6" t="inlineStr">
        <is>
          <t>€ migliaia</t>
        </is>
      </c>
    </row>
    <row r="12">
      <c r="B12" s="3" t="inlineStr">
        <is>
          <t>RISULTATI (calcolati in automatico)</t>
        </is>
      </c>
    </row>
    <row r="13">
      <c r="B13" s="7" t="inlineStr">
        <is>
          <t>EAC — costi totali stimati a fine commessa</t>
        </is>
      </c>
      <c r="C13" s="8">
        <f>C7+C8</f>
        <v/>
      </c>
      <c r="D13" s="6" t="inlineStr">
        <is>
          <t>Estimate At Completion = costi a oggi + ETC</t>
        </is>
      </c>
    </row>
    <row r="14">
      <c r="B14" s="4" t="inlineStr">
        <is>
          <t>Scostamento EAC vs budget (€)</t>
        </is>
      </c>
      <c r="C14" s="9">
        <f>C13-C6</f>
        <v/>
      </c>
      <c r="D14" s="6" t="inlineStr">
        <is>
          <t>positivo = sforamento costi (overrun)</t>
        </is>
      </c>
    </row>
    <row r="15">
      <c r="B15" s="4" t="inlineStr">
        <is>
          <t>Scostamento EAC vs budget (%)</t>
        </is>
      </c>
      <c r="C15" s="10">
        <f>(C13-C6)/C6</f>
        <v/>
      </c>
      <c r="D15" s="6" t="inlineStr"/>
    </row>
    <row r="16">
      <c r="B16" s="4" t="inlineStr">
        <is>
          <t>% completamento (cost-to-cost)</t>
        </is>
      </c>
      <c r="C16" s="10">
        <f>C7/C13</f>
        <v/>
      </c>
      <c r="D16" s="6">
        <f> costi a oggi ÷ EAC (non ÷ budget!)</f>
        <v/>
      </c>
    </row>
    <row r="17">
      <c r="B17" s="4" t="inlineStr">
        <is>
          <t>Margine di OFFERTA (€)</t>
        </is>
      </c>
      <c r="C17" s="9">
        <f>C5-C6</f>
        <v/>
      </c>
      <c r="D17" s="6" t="inlineStr">
        <is>
          <t>quello promesso quando hai vinto la gara</t>
        </is>
      </c>
    </row>
    <row r="18">
      <c r="B18" s="4" t="inlineStr">
        <is>
          <t>Margine di OFFERTA (%)</t>
        </is>
      </c>
      <c r="C18" s="10">
        <f>(C5-C6)/C5</f>
        <v/>
      </c>
      <c r="D18" s="6" t="inlineStr"/>
    </row>
    <row r="19">
      <c r="B19" s="7" t="inlineStr">
        <is>
          <t>Margine-A-FINIRE (€)</t>
        </is>
      </c>
      <c r="C19" s="8">
        <f>C5-C13</f>
        <v/>
      </c>
      <c r="D19" s="6" t="inlineStr">
        <is>
          <t>margine atteso sull'intera commessa, ricalcolato</t>
        </is>
      </c>
    </row>
    <row r="20">
      <c r="B20" s="7" t="inlineStr">
        <is>
          <t>Margine-A-FINIRE (%)</t>
        </is>
      </c>
      <c r="C20" s="11">
        <f>(C5-C13)/C5</f>
        <v/>
      </c>
      <c r="D20" s="6" t="inlineStr">
        <is>
          <t>&lt; offerta = erosione di margine</t>
        </is>
      </c>
    </row>
    <row r="21">
      <c r="B21" s="4" t="inlineStr">
        <is>
          <t>Erosione margine vs offerta (pp)</t>
        </is>
      </c>
      <c r="C21" s="10">
        <f>C20-C18</f>
        <v/>
      </c>
      <c r="D21" s="6" t="inlineStr">
        <is>
          <t>differenza in punti percentuali</t>
        </is>
      </c>
    </row>
    <row r="22">
      <c r="B22" s="4" t="inlineStr">
        <is>
          <t>Ricavi riconosciuti a oggi (POC)</t>
        </is>
      </c>
      <c r="C22" s="9">
        <f>C5*C16</f>
        <v/>
      </c>
      <c r="D22" s="6">
        <f> prezzo × % completamento</f>
        <v/>
      </c>
    </row>
    <row r="23">
      <c r="B23" s="4" t="inlineStr">
        <is>
          <t>Costi riconosciuti a oggi</t>
        </is>
      </c>
      <c r="C23" s="9">
        <f>C7</f>
        <v/>
      </c>
      <c r="D23" s="6" t="inlineStr"/>
    </row>
    <row r="24">
      <c r="B24" s="4" t="inlineStr">
        <is>
          <t>Margine riconosciuto a oggi (€)</t>
        </is>
      </c>
      <c r="C24" s="9">
        <f>C22-C23</f>
        <v/>
      </c>
      <c r="D24" s="6" t="inlineStr"/>
    </row>
    <row r="25">
      <c r="B25" s="4" t="inlineStr">
        <is>
          <t>Contract ASSET — WIP (attivo)</t>
        </is>
      </c>
      <c r="C25" s="9">
        <f>MAX(C22-C9,0)</f>
        <v/>
      </c>
      <c r="D25" s="6" t="inlineStr">
        <is>
          <t>ricavi maturati ma non ancora fatturati</t>
        </is>
      </c>
    </row>
    <row r="26">
      <c r="B26" s="4" t="inlineStr">
        <is>
          <t>Contract LIABILITY (passivo)</t>
        </is>
      </c>
      <c r="C26" s="9">
        <f>MAX(C9-C22,0)</f>
        <v/>
      </c>
      <c r="D26" s="6" t="inlineStr">
        <is>
          <t>fatturato/acconti in eccesso sui ricavi maturati</t>
        </is>
      </c>
    </row>
    <row r="27">
      <c r="B27" s="7" t="inlineStr">
        <is>
          <t>Perdita attesa da ACCANTONARE (onerous)</t>
        </is>
      </c>
      <c r="C27" s="8">
        <f>IF(C13&gt;C5,C13-C5,0)</f>
        <v/>
      </c>
      <c r="D27" s="6" t="inlineStr">
        <is>
          <t>se EAC &gt; prezzo: accantona SUBITO l'intera perdita</t>
        </is>
      </c>
    </row>
    <row r="28">
      <c r="B28" s="7" t="inlineStr">
        <is>
          <t>STATO COMMESSA</t>
        </is>
      </c>
      <c r="C28" s="12">
        <f>IF(C19&lt;0,"IN PERDITA — accantona",IF(C20&lt;C18,"MARGINE IN EROSIONE","IN LINEA / OK"))</f>
        <v/>
      </c>
      <c r="D28" s="6" t="inlineStr">
        <is>
          <t>semaforo: rosso = perdita · ambra = erosione vs offerta · verde = in linea</t>
        </is>
      </c>
    </row>
    <row r="30">
      <c r="B30" s="3" t="inlineStr">
        <is>
          <t>SENSITIVITY — come si muove il margine al variare dei COSTI A FINIRE (ETC)</t>
        </is>
      </c>
    </row>
    <row r="31">
      <c r="B31" s="13" t="inlineStr">
        <is>
          <t>ETC (costi a finire)</t>
        </is>
      </c>
      <c r="C31" s="13" t="inlineStr">
        <is>
          <t>EAC</t>
        </is>
      </c>
      <c r="D31" s="13" t="inlineStr">
        <is>
          <t>Margine-a-finire %</t>
        </is>
      </c>
      <c r="E31" s="13" t="inlineStr">
        <is>
          <t>Δ vs offerta (pp)</t>
        </is>
      </c>
    </row>
    <row r="32">
      <c r="B32" s="14" t="n">
        <v>3000</v>
      </c>
      <c r="C32" s="14">
        <f>$C$7+B32</f>
        <v/>
      </c>
      <c r="D32" s="15">
        <f>($C$5-C32)/$C$5</f>
        <v/>
      </c>
      <c r="E32" s="15">
        <f>D32-$C$18</f>
        <v/>
      </c>
    </row>
    <row r="33">
      <c r="B33" s="14" t="n">
        <v>3500</v>
      </c>
      <c r="C33" s="14">
        <f>$C$7+B33</f>
        <v/>
      </c>
      <c r="D33" s="15">
        <f>($C$5-C33)/$C$5</f>
        <v/>
      </c>
      <c r="E33" s="15">
        <f>D33-$C$18</f>
        <v/>
      </c>
    </row>
    <row r="34">
      <c r="B34" s="14" t="n">
        <v>4000</v>
      </c>
      <c r="C34" s="14">
        <f>$C$7+B34</f>
        <v/>
      </c>
      <c r="D34" s="15">
        <f>($C$5-C34)/$C$5</f>
        <v/>
      </c>
      <c r="E34" s="15">
        <f>D34-$C$18</f>
        <v/>
      </c>
    </row>
    <row r="35">
      <c r="B35" s="14" t="n">
        <v>4300</v>
      </c>
      <c r="C35" s="14">
        <f>$C$7+B35</f>
        <v/>
      </c>
      <c r="D35" s="15">
        <f>($C$5-C35)/$C$5</f>
        <v/>
      </c>
      <c r="E35" s="15">
        <f>D35-$C$18</f>
        <v/>
      </c>
    </row>
    <row r="36">
      <c r="B36" s="14" t="n">
        <v>4800</v>
      </c>
      <c r="C36" s="14">
        <f>$C$7+B36</f>
        <v/>
      </c>
      <c r="D36" s="15">
        <f>($C$5-C36)/$C$5</f>
        <v/>
      </c>
      <c r="E36" s="15">
        <f>D36-$C$18</f>
        <v/>
      </c>
    </row>
    <row r="37">
      <c r="B37" s="14" t="n">
        <v>5300</v>
      </c>
      <c r="C37" s="14">
        <f>$C$7+B37</f>
        <v/>
      </c>
      <c r="D37" s="15">
        <f>($C$5-C37)/$C$5</f>
        <v/>
      </c>
      <c r="E37" s="15">
        <f>D37-$C$18</f>
        <v/>
      </c>
    </row>
    <row r="38">
      <c r="B38" s="14" t="n">
        <v>5800</v>
      </c>
      <c r="C38" s="14">
        <f>$C$7+B38</f>
        <v/>
      </c>
      <c r="D38" s="15">
        <f>($C$5-C38)/$C$5</f>
        <v/>
      </c>
      <c r="E38" s="15">
        <f>D38-$C$18</f>
        <v/>
      </c>
    </row>
    <row r="39">
      <c r="B39" s="14" t="n">
        <v>6300</v>
      </c>
      <c r="C39" s="14">
        <f>$C$7+B39</f>
        <v/>
      </c>
      <c r="D39" s="15">
        <f>($C$5-C39)/$C$5</f>
        <v/>
      </c>
      <c r="E39" s="15">
        <f>D39-$C$18</f>
        <v/>
      </c>
    </row>
    <row r="41">
      <c r="B41" s="16" t="inlineStr">
        <is>
          <t>Come leggerlo (logica di controllo commessa):</t>
        </is>
      </c>
    </row>
    <row r="42">
      <c r="B42" s="2" t="inlineStr">
        <is>
          <t>1) L'EAC è il numero chiave: alimenta sia la % di completamento (cost-to-cost) sia il margine-a-finire.</t>
        </is>
      </c>
    </row>
    <row r="43">
      <c r="B43" s="2" t="inlineStr">
        <is>
          <t>2) Aumenta l'ETC (cella C8) e guarda C20: il margine-a-finire scende → vedi l'erosione in tempo reale.</t>
        </is>
      </c>
    </row>
    <row r="44">
      <c r="B44" s="2" t="inlineStr">
        <is>
          <t>3) Se l'EAC supera il prezzo (C13&gt;C5), C19 diventa negativo: scatta la perdita da accantonare SUBITO (onerous contract).</t>
        </is>
      </c>
    </row>
    <row r="45">
      <c r="B45" s="2" t="inlineStr">
        <is>
          <t>4) Ricavi a bilancio = prezzo × % completamento (C22), non il fatturato: la differenza genera WIP/contract asset (C25) o contract liability (C26).</t>
        </is>
      </c>
    </row>
    <row r="46">
      <c r="B46" s="2" t="inlineStr">
        <is>
          <t>5) Prova: porta C8 da 4.300 a 6.300 → EAC 10.600 &gt; prezzo 10.000 → commessa in perdita.</t>
        </is>
      </c>
    </row>
  </sheetData>
  <mergeCells count="12">
    <mergeCell ref="B44:F44"/>
    <mergeCell ref="B43:F43"/>
    <mergeCell ref="D28:F28"/>
    <mergeCell ref="B2:F2"/>
    <mergeCell ref="B42:F42"/>
    <mergeCell ref="B4:D4"/>
    <mergeCell ref="B30:E30"/>
    <mergeCell ref="B45:F45"/>
    <mergeCell ref="B46:F46"/>
    <mergeCell ref="B1:F1"/>
    <mergeCell ref="B12:D12"/>
    <mergeCell ref="B41:F41"/>
  </mergeCells>
  <conditionalFormatting sqref="C20">
    <cfRule type="expression" priority="1" dxfId="0">
      <formula>$C$20&gt;=$C$18</formula>
    </cfRule>
    <cfRule type="expression" priority="2" dxfId="1">
      <formula>$C$20&lt;$C$18</formula>
    </cfRule>
  </conditionalFormatting>
  <conditionalFormatting sqref="C19">
    <cfRule type="expression" priority="3" dxfId="1">
      <formula>$C$19&lt;0</formula>
    </cfRule>
  </conditionalFormatting>
  <conditionalFormatting sqref="C27">
    <cfRule type="expression" priority="4" dxfId="2">
      <formula>$C$27&gt;0</formula>
    </cfRule>
  </conditionalFormatting>
  <conditionalFormatting sqref="C28">
    <cfRule type="expression" priority="5" dxfId="2">
      <formula>$C$19&lt;0</formula>
    </cfRule>
    <cfRule type="expression" priority="6" dxfId="3">
      <formula>AND($C$19&gt;=0,$C$20&lt;$C$18)</formula>
    </cfRule>
    <cfRule type="expression" priority="7" dxfId="4">
      <formula>$C$20&gt;=$C$18</formula>
    </cfRule>
  </conditionalFormatting>
  <conditionalFormatting sqref="D32:D39">
    <cfRule type="colorScale" priority="8">
      <colorScale>
        <cfvo type="num" val="-0.1"/>
        <cfvo type="num" val="0.1"/>
        <cfvo type="num" val="0.2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2026-06-11T09:05:54Z</dcterms:created>
  <dcterms:modified xmlns:dcterms="http://purl.org/dc/terms/" xmlns:xsi="http://www.w3.org/2001/XMLSchema-instance" xsi:type="dcterms:W3CDTF">2026-06-11T09:05:54Z</dcterms:modified>
</cp:coreProperties>
</file>
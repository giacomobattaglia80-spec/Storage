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3A5F"/>
      <sz val="15"/>
    </font>
    <font>
      <name val="Calibri"/>
      <i val="1"/>
      <color rgb="00666666"/>
      <sz val="9.5"/>
    </font>
    <font>
      <name val="Calibri"/>
      <b val="1"/>
      <color rgb="00FFFFFF"/>
      <sz val="11"/>
    </font>
    <font>
      <b val="1"/>
      <color rgb="001F3A5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6EB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DECD6"/>
        </patternFill>
      </fill>
    </dxf>
    <dxf>
      <fill>
        <patternFill patternType="solid">
          <fgColor rgb="00FCE4B6"/>
        </patternFill>
      </fill>
    </dxf>
    <dxf>
      <fill>
        <patternFill patternType="solid">
          <fgColor rgb="00F8CBC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50" customWidth="1" min="3" max="3"/>
    <col width="8" customWidth="1" min="4" max="4"/>
    <col width="10" customWidth="1" min="5" max="5"/>
    <col width="12" customWidth="1" min="6" max="6"/>
    <col width="12" customWidth="1" min="7" max="7"/>
    <col width="9" customWidth="1" min="8" max="8"/>
  </cols>
  <sheetData>
    <row r="1">
      <c r="B1" s="1" t="inlineStr">
        <is>
          <t>KPI Scorecard — HENNECKE-OMS  ·  crescita · redditività · cassa</t>
        </is>
      </c>
    </row>
    <row r="2">
      <c r="B2" s="2" t="inlineStr">
        <is>
          <t>Compila le celle GIALLE (Target e Attuale): il semaforo si aggiorna da solo. ▲ = meglio se alto · ▼ = meglio se basso. % in formato percentuale.</t>
        </is>
      </c>
    </row>
    <row r="4">
      <c r="B4" s="3" t="inlineStr">
        <is>
          <t>KPI</t>
        </is>
      </c>
      <c r="C4" s="3" t="inlineStr">
        <is>
          <t>Definizione / formula</t>
        </is>
      </c>
      <c r="D4" s="4" t="inlineStr">
        <is>
          <t>Verso</t>
        </is>
      </c>
      <c r="E4" s="4" t="inlineStr">
        <is>
          <t>Unità</t>
        </is>
      </c>
      <c r="F4" s="4" t="inlineStr">
        <is>
          <t>Target</t>
        </is>
      </c>
      <c r="G4" s="4" t="inlineStr">
        <is>
          <t>Attuale</t>
        </is>
      </c>
      <c r="H4" s="4" t="inlineStr">
        <is>
          <t>Status</t>
        </is>
      </c>
    </row>
    <row r="5">
      <c r="B5" s="5" t="inlineStr">
        <is>
          <t>CRESCITA (Growth)</t>
        </is>
      </c>
      <c r="C5" s="6" t="n"/>
      <c r="D5" s="6" t="n"/>
      <c r="E5" s="6" t="n"/>
      <c r="F5" s="6" t="n"/>
      <c r="G5" s="6" t="n"/>
      <c r="H5" s="6" t="n"/>
    </row>
    <row r="6">
      <c r="B6" s="7" t="inlineStr">
        <is>
          <t>Order intake</t>
        </is>
      </c>
      <c r="C6" s="8" t="inlineStr">
        <is>
          <t>Nuovi ordini acquisiti nel periodo</t>
        </is>
      </c>
      <c r="D6" s="9" t="inlineStr">
        <is>
          <t>▲</t>
        </is>
      </c>
      <c r="E6" s="9" t="inlineStr">
        <is>
          <t>€m</t>
        </is>
      </c>
      <c r="F6" s="10" t="n">
        <v>50</v>
      </c>
      <c r="G6" s="10" t="n">
        <v>44</v>
      </c>
      <c r="H6" s="9">
        <f>IF(G6="","",IF(D6="▲",IF(G6&gt;=F6,3,IF(G6&gt;=F6*0.9,2,1)),IF(G6&lt;=F6,3,IF(G6&lt;=F6*1.1,2,1))))</f>
        <v/>
      </c>
    </row>
    <row r="7">
      <c r="B7" s="7" t="inlineStr">
        <is>
          <t>Book-to-bill</t>
        </is>
      </c>
      <c r="C7" s="8" t="inlineStr">
        <is>
          <t>Bookings ÷ ricavi fatturati</t>
        </is>
      </c>
      <c r="D7" s="9" t="inlineStr">
        <is>
          <t>▲</t>
        </is>
      </c>
      <c r="E7" s="9" t="inlineStr">
        <is>
          <t>x</t>
        </is>
      </c>
      <c r="F7" s="10" t="n">
        <v>1.05</v>
      </c>
      <c r="G7" s="10" t="n">
        <v>0.95</v>
      </c>
      <c r="H7" s="9">
        <f>IF(G7="","",IF(D7="▲",IF(G7&gt;=F7,3,IF(G7&gt;=F7*0.9,2,1)),IF(G7&lt;=F7,3,IF(G7&lt;=F7*1.1,2,1))))</f>
        <v/>
      </c>
    </row>
    <row r="8">
      <c r="B8" s="7" t="inlineStr">
        <is>
          <t>Backlog — copertura</t>
        </is>
      </c>
      <c r="C8" s="8" t="inlineStr">
        <is>
          <t>Backlog ÷ ricavi medi mensili</t>
        </is>
      </c>
      <c r="D8" s="9" t="inlineStr">
        <is>
          <t>▲</t>
        </is>
      </c>
      <c r="E8" s="9" t="inlineStr">
        <is>
          <t>mesi</t>
        </is>
      </c>
      <c r="F8" s="10" t="n">
        <v>9</v>
      </c>
      <c r="G8" s="10" t="n">
        <v>7</v>
      </c>
      <c r="H8" s="9">
        <f>IF(G8="","",IF(D8="▲",IF(G8&gt;=F8,3,IF(G8&gt;=F8*0.9,2,1)),IF(G8&lt;=F8,3,IF(G8&lt;=F8*1.1,2,1))))</f>
        <v/>
      </c>
    </row>
    <row r="9">
      <c r="B9" s="7" t="inlineStr">
        <is>
          <t>Aftermarket share</t>
        </is>
      </c>
      <c r="C9" s="8" t="inlineStr">
        <is>
          <t>Ricavi service/ricambi ÷ ricavi totali</t>
        </is>
      </c>
      <c r="D9" s="9" t="inlineStr">
        <is>
          <t>▲</t>
        </is>
      </c>
      <c r="E9" s="9" t="inlineStr">
        <is>
          <t>%</t>
        </is>
      </c>
      <c r="F9" s="11" t="n">
        <v>0.3</v>
      </c>
      <c r="G9" s="11" t="n">
        <v>0.22</v>
      </c>
      <c r="H9" s="9">
        <f>IF(G9="","",IF(D9="▲",IF(G9&gt;=F9,3,IF(G9&gt;=F9*0.9,2,1)),IF(G9&lt;=F9,3,IF(G9&lt;=F9*1.1,2,1))))</f>
        <v/>
      </c>
    </row>
    <row r="10">
      <c r="B10" s="7" t="inlineStr">
        <is>
          <t>Win rate offerte</t>
        </is>
      </c>
      <c r="C10" s="8" t="inlineStr">
        <is>
          <t>Valore vinto ÷ valore quotato</t>
        </is>
      </c>
      <c r="D10" s="9" t="inlineStr">
        <is>
          <t>▲</t>
        </is>
      </c>
      <c r="E10" s="9" t="inlineStr">
        <is>
          <t>%</t>
        </is>
      </c>
      <c r="F10" s="11" t="n">
        <v>0.3</v>
      </c>
      <c r="G10" s="11" t="n">
        <v>0.25</v>
      </c>
      <c r="H10" s="9">
        <f>IF(G10="","",IF(D10="▲",IF(G10&gt;=F10,3,IF(G10&gt;=F10*0.9,2,1)),IF(G10&lt;=F10,3,IF(G10&lt;=F10*1.1,2,1))))</f>
        <v/>
      </c>
    </row>
    <row r="11">
      <c r="B11" s="5" t="inlineStr">
        <is>
          <t>REDDITIVITÀ (Profitability)</t>
        </is>
      </c>
      <c r="C11" s="6" t="n"/>
      <c r="D11" s="6" t="n"/>
      <c r="E11" s="6" t="n"/>
      <c r="F11" s="6" t="n"/>
      <c r="G11" s="6" t="n"/>
      <c r="H11" s="6" t="n"/>
    </row>
    <row r="12">
      <c r="B12" s="7" t="inlineStr">
        <is>
          <t>EBITDA margin (norm.)</t>
        </is>
      </c>
      <c r="C12" s="8" t="inlineStr">
        <is>
          <t>EBITDA ÷ ricavi — vista normalizzata 2-yr</t>
        </is>
      </c>
      <c r="D12" s="9" t="inlineStr">
        <is>
          <t>▲</t>
        </is>
      </c>
      <c r="E12" s="9" t="inlineStr">
        <is>
          <t>%</t>
        </is>
      </c>
      <c r="F12" s="11" t="n">
        <v>0.07000000000000001</v>
      </c>
      <c r="G12" s="11" t="n">
        <v>0.055</v>
      </c>
      <c r="H12" s="9">
        <f>IF(G12="","",IF(D12="▲",IF(G12&gt;=F12,3,IF(G12&gt;=F12*0.9,2,1)),IF(G12&lt;=F12,3,IF(G12&lt;=F12*1.1,2,1))))</f>
        <v/>
      </c>
    </row>
    <row r="13">
      <c r="B13" s="7" t="inlineStr">
        <is>
          <t>Margine-a-finire medio</t>
        </is>
      </c>
      <c r="C13" s="8" t="inlineStr">
        <is>
          <t>(Prezzo − EAC) ÷ prezzo, medio commesse</t>
        </is>
      </c>
      <c r="D13" s="9" t="inlineStr">
        <is>
          <t>▲</t>
        </is>
      </c>
      <c r="E13" s="9" t="inlineStr">
        <is>
          <t>%</t>
        </is>
      </c>
      <c r="F13" s="11" t="n">
        <v>0.08</v>
      </c>
      <c r="G13" s="11" t="n">
        <v>0.05</v>
      </c>
      <c r="H13" s="9">
        <f>IF(G13="","",IF(D13="▲",IF(G13&gt;=F13,3,IF(G13&gt;=F13*0.9,2,1)),IF(G13&lt;=F13,3,IF(G13&lt;=F13*1.1,2,1))))</f>
        <v/>
      </c>
    </row>
    <row r="14">
      <c r="B14" s="7" t="inlineStr">
        <is>
          <t>Material cost ratio</t>
        </is>
      </c>
      <c r="C14" s="8" t="inlineStr">
        <is>
          <t>Acquisti ÷ valore della produzione</t>
        </is>
      </c>
      <c r="D14" s="9" t="inlineStr">
        <is>
          <t>▼</t>
        </is>
      </c>
      <c r="E14" s="9" t="inlineStr">
        <is>
          <t>%</t>
        </is>
      </c>
      <c r="F14" s="11" t="n">
        <v>0.35</v>
      </c>
      <c r="G14" s="11" t="n">
        <v>0.384</v>
      </c>
      <c r="H14" s="9">
        <f>IF(G14="","",IF(D14="▲",IF(G14&gt;=F14,3,IF(G14&gt;=F14*0.9,2,1)),IF(G14&lt;=F14,3,IF(G14&lt;=F14*1.1,2,1))))</f>
        <v/>
      </c>
    </row>
    <row r="15">
      <c r="B15" s="7" t="inlineStr">
        <is>
          <t>Ricavi per FTE</t>
        </is>
      </c>
      <c r="C15" s="8" t="inlineStr">
        <is>
          <t>Ricavi ÷ organico medio</t>
        </is>
      </c>
      <c r="D15" s="9" t="inlineStr">
        <is>
          <t>▲</t>
        </is>
      </c>
      <c r="E15" s="9" t="inlineStr">
        <is>
          <t>€k</t>
        </is>
      </c>
      <c r="F15" s="12" t="n">
        <v>290</v>
      </c>
      <c r="G15" s="12" t="n">
        <v>266</v>
      </c>
      <c r="H15" s="9">
        <f>IF(G15="","",IF(D15="▲",IF(G15&gt;=F15,3,IF(G15&gt;=F15*0.9,2,1)),IF(G15&lt;=F15,3,IF(G15&lt;=F15*1.1,2,1))))</f>
        <v/>
      </c>
    </row>
    <row r="16">
      <c r="B16" s="7" t="inlineStr">
        <is>
          <t>Costi in garanzia</t>
        </is>
      </c>
      <c r="C16" s="8" t="inlineStr">
        <is>
          <t>Costi garanzia/claim ÷ ricavi</t>
        </is>
      </c>
      <c r="D16" s="9" t="inlineStr">
        <is>
          <t>▼</t>
        </is>
      </c>
      <c r="E16" s="9" t="inlineStr">
        <is>
          <t>%</t>
        </is>
      </c>
      <c r="F16" s="11" t="n">
        <v>0.015</v>
      </c>
      <c r="G16" s="11" t="n">
        <v>0.02</v>
      </c>
      <c r="H16" s="9">
        <f>IF(G16="","",IF(D16="▲",IF(G16&gt;=F16,3,IF(G16&gt;=F16*0.9,2,1)),IF(G16&lt;=F16,3,IF(G16&lt;=F16*1.1,2,1))))</f>
        <v/>
      </c>
    </row>
    <row r="17">
      <c r="B17" s="5" t="inlineStr">
        <is>
          <t>CASSA (Cash)</t>
        </is>
      </c>
      <c r="C17" s="6" t="n"/>
      <c r="D17" s="6" t="n"/>
      <c r="E17" s="6" t="n"/>
      <c r="F17" s="6" t="n"/>
      <c r="G17" s="6" t="n"/>
      <c r="H17" s="6" t="n"/>
    </row>
    <row r="18">
      <c r="B18" s="7" t="inlineStr">
        <is>
          <t>DIO magazzino</t>
        </is>
      </c>
      <c r="C18" s="8" t="inlineStr">
        <is>
          <t>Rimanenze ÷ costo del venduto × 365</t>
        </is>
      </c>
      <c r="D18" s="9" t="inlineStr">
        <is>
          <t>▼</t>
        </is>
      </c>
      <c r="E18" s="9" t="inlineStr">
        <is>
          <t>gg</t>
        </is>
      </c>
      <c r="F18" s="12" t="n">
        <v>60</v>
      </c>
      <c r="G18" s="12" t="n">
        <v>66</v>
      </c>
      <c r="H18" s="9">
        <f>IF(G18="","",IF(D18="▲",IF(G18&gt;=F18,3,IF(G18&gt;=F18*0.9,2,1)),IF(G18&lt;=F18,3,IF(G18&lt;=F18*1.1,2,1))))</f>
        <v/>
      </c>
    </row>
    <row r="19">
      <c r="B19" s="7" t="inlineStr">
        <is>
          <t>DSO clienti</t>
        </is>
      </c>
      <c r="C19" s="8" t="inlineStr">
        <is>
          <t>Crediti v/clienti ÷ ricavi × 365</t>
        </is>
      </c>
      <c r="D19" s="9" t="inlineStr">
        <is>
          <t>▼</t>
        </is>
      </c>
      <c r="E19" s="9" t="inlineStr">
        <is>
          <t>gg</t>
        </is>
      </c>
      <c r="F19" s="12" t="n">
        <v>10</v>
      </c>
      <c r="G19" s="12" t="n">
        <v>6</v>
      </c>
      <c r="H19" s="9">
        <f>IF(G19="","",IF(D19="▲",IF(G19&gt;=F19,3,IF(G19&gt;=F19*0.9,2,1)),IF(G19&lt;=F19,3,IF(G19&lt;=F19*1.1,2,1))))</f>
        <v/>
      </c>
    </row>
    <row r="20">
      <c r="B20" s="7" t="inlineStr">
        <is>
          <t>DPO fornitori</t>
        </is>
      </c>
      <c r="C20" s="8" t="inlineStr">
        <is>
          <t>Debiti v/fornitori ÷ acquisti × 365</t>
        </is>
      </c>
      <c r="D20" s="9" t="inlineStr">
        <is>
          <t>▲</t>
        </is>
      </c>
      <c r="E20" s="9" t="inlineStr">
        <is>
          <t>gg</t>
        </is>
      </c>
      <c r="F20" s="12" t="n">
        <v>90</v>
      </c>
      <c r="G20" s="12" t="n">
        <v>87</v>
      </c>
      <c r="H20" s="9">
        <f>IF(G20="","",IF(D20="▲",IF(G20&gt;=F20,3,IF(G20&gt;=F20*0.9,2,1)),IF(G20&lt;=F20,3,IF(G20&lt;=F20*1.1,2,1))))</f>
        <v/>
      </c>
    </row>
    <row r="21">
      <c r="B21" s="7" t="inlineStr">
        <is>
          <t>Cash Conversion Cycle</t>
        </is>
      </c>
      <c r="C21" s="8" t="inlineStr">
        <is>
          <t>DSO + DIO − DPO</t>
        </is>
      </c>
      <c r="D21" s="9" t="inlineStr">
        <is>
          <t>▼</t>
        </is>
      </c>
      <c r="E21" s="9" t="inlineStr">
        <is>
          <t>gg</t>
        </is>
      </c>
      <c r="F21" s="12" t="n">
        <v>10</v>
      </c>
      <c r="G21" s="12" t="n">
        <v>-15</v>
      </c>
      <c r="H21" s="9">
        <f>IF(G21="","",IF(D21="▲",IF(G21&gt;=F21,3,IF(G21&gt;=F21*0.9,2,1)),IF(G21&lt;=F21,3,IF(G21&lt;=F21*1.1,2,1))))</f>
        <v/>
      </c>
    </row>
    <row r="22">
      <c r="B22" s="7" t="inlineStr">
        <is>
          <t>Acconti ÷ WIP</t>
        </is>
      </c>
      <c r="C22" s="8" t="inlineStr">
        <is>
          <t>Acconti clienti ÷ lavori in corso</t>
        </is>
      </c>
      <c r="D22" s="9" t="inlineStr">
        <is>
          <t>▲</t>
        </is>
      </c>
      <c r="E22" s="9" t="inlineStr">
        <is>
          <t>x</t>
        </is>
      </c>
      <c r="F22" s="10" t="n">
        <v>1</v>
      </c>
      <c r="G22" s="10" t="n">
        <v>3.2</v>
      </c>
      <c r="H22" s="9">
        <f>IF(G22="","",IF(D22="▲",IF(G22&gt;=F22,3,IF(G22&gt;=F22*0.9,2,1)),IF(G22&lt;=F22,3,IF(G22&lt;=F22*1.1,2,1))))</f>
        <v/>
      </c>
    </row>
    <row r="23">
      <c r="B23" s="7" t="inlineStr">
        <is>
          <t>FCF conversion</t>
        </is>
      </c>
      <c r="C23" s="8" t="inlineStr">
        <is>
          <t>Free cash flow ÷ EBITDA</t>
        </is>
      </c>
      <c r="D23" s="9" t="inlineStr">
        <is>
          <t>▲</t>
        </is>
      </c>
      <c r="E23" s="9" t="inlineStr">
        <is>
          <t>%</t>
        </is>
      </c>
      <c r="F23" s="11" t="n">
        <v>0.6</v>
      </c>
      <c r="G23" s="11" t="n">
        <v>0.5</v>
      </c>
      <c r="H23" s="9">
        <f>IF(G23="","",IF(D23="▲",IF(G23&gt;=F23,3,IF(G23&gt;=F23*0.9,2,1)),IF(G23&lt;=F23,3,IF(G23&lt;=F23*1.1,2,1))))</f>
        <v/>
      </c>
    </row>
    <row r="25">
      <c r="B25" s="13" t="inlineStr">
        <is>
          <t>Legenda semaforo: ● verde = a/oltre target · ● ambra = entro 10% dal target · ● rosso = sotto soglia.</t>
        </is>
      </c>
    </row>
    <row r="26">
      <c r="B26" s="13" t="inlineStr">
        <is>
          <t>I valori 'Attuale' pre-caricati sono in parte dal bilancio 2024 (es. EBITDA norm. 5,6% · material ratio 38,4% · DIO 66 · DSO 6 · DPO 87) e in parte esempi da popolare con i dati gestionali.</t>
        </is>
      </c>
    </row>
    <row r="27">
      <c r="B27" s="13" t="inlineStr">
        <is>
          <t>Soglia ambra = ±10% dal target (modificabile nelle formule colonna H). Verso ▲ = meglio se alto, ▼ = meglio se basso.</t>
        </is>
      </c>
    </row>
    <row r="28">
      <c r="B28" s="13" t="inlineStr">
        <is>
          <t>Collegabile al simulatore di commessa (margine-a-finire, EAC, WIP, acconti) per alimentare automaticamente i KPI operativi.</t>
        </is>
      </c>
    </row>
  </sheetData>
  <mergeCells count="9">
    <mergeCell ref="B17:H17"/>
    <mergeCell ref="B26:H26"/>
    <mergeCell ref="B1:H1"/>
    <mergeCell ref="B27:H27"/>
    <mergeCell ref="B2:H2"/>
    <mergeCell ref="B25:H25"/>
    <mergeCell ref="B11:H11"/>
    <mergeCell ref="B5:H5"/>
    <mergeCell ref="B28:H28"/>
  </mergeCells>
  <conditionalFormatting sqref="H5:H23">
    <cfRule type="iconSet" priority="1">
      <iconSet iconSet="3TrafficLights1" showValue="0">
        <cfvo type="num" val="0"/>
        <cfvo type="num" val="2"/>
        <cfvo type="num" val="3"/>
      </iconSet>
    </cfRule>
  </conditionalFormatting>
  <conditionalFormatting sqref="G6">
    <cfRule type="expression" priority="2" dxfId="0">
      <formula>$H6=3</formula>
    </cfRule>
    <cfRule type="expression" priority="3" dxfId="1">
      <formula>$H6=2</formula>
    </cfRule>
    <cfRule type="expression" priority="4" dxfId="2">
      <formula>$H6=1</formula>
    </cfRule>
  </conditionalFormatting>
  <conditionalFormatting sqref="G7">
    <cfRule type="expression" priority="5" dxfId="0">
      <formula>$H7=3</formula>
    </cfRule>
    <cfRule type="expression" priority="6" dxfId="1">
      <formula>$H7=2</formula>
    </cfRule>
    <cfRule type="expression" priority="7" dxfId="2">
      <formula>$H7=1</formula>
    </cfRule>
  </conditionalFormatting>
  <conditionalFormatting sqref="G8">
    <cfRule type="expression" priority="8" dxfId="0">
      <formula>$H8=3</formula>
    </cfRule>
    <cfRule type="expression" priority="9" dxfId="1">
      <formula>$H8=2</formula>
    </cfRule>
    <cfRule type="expression" priority="10" dxfId="2">
      <formula>$H8=1</formula>
    </cfRule>
  </conditionalFormatting>
  <conditionalFormatting sqref="G9">
    <cfRule type="expression" priority="11" dxfId="0">
      <formula>$H9=3</formula>
    </cfRule>
    <cfRule type="expression" priority="12" dxfId="1">
      <formula>$H9=2</formula>
    </cfRule>
    <cfRule type="expression" priority="13" dxfId="2">
      <formula>$H9=1</formula>
    </cfRule>
  </conditionalFormatting>
  <conditionalFormatting sqref="G10">
    <cfRule type="expression" priority="14" dxfId="0">
      <formula>$H10=3</formula>
    </cfRule>
    <cfRule type="expression" priority="15" dxfId="1">
      <formula>$H10=2</formula>
    </cfRule>
    <cfRule type="expression" priority="16" dxfId="2">
      <formula>$H10=1</formula>
    </cfRule>
  </conditionalFormatting>
  <conditionalFormatting sqref="G12">
    <cfRule type="expression" priority="17" dxfId="0">
      <formula>$H12=3</formula>
    </cfRule>
    <cfRule type="expression" priority="18" dxfId="1">
      <formula>$H12=2</formula>
    </cfRule>
    <cfRule type="expression" priority="19" dxfId="2">
      <formula>$H12=1</formula>
    </cfRule>
  </conditionalFormatting>
  <conditionalFormatting sqref="G13">
    <cfRule type="expression" priority="20" dxfId="0">
      <formula>$H13=3</formula>
    </cfRule>
    <cfRule type="expression" priority="21" dxfId="1">
      <formula>$H13=2</formula>
    </cfRule>
    <cfRule type="expression" priority="22" dxfId="2">
      <formula>$H13=1</formula>
    </cfRule>
  </conditionalFormatting>
  <conditionalFormatting sqref="G14">
    <cfRule type="expression" priority="23" dxfId="0">
      <formula>$H14=3</formula>
    </cfRule>
    <cfRule type="expression" priority="24" dxfId="1">
      <formula>$H14=2</formula>
    </cfRule>
    <cfRule type="expression" priority="25" dxfId="2">
      <formula>$H14=1</formula>
    </cfRule>
  </conditionalFormatting>
  <conditionalFormatting sqref="G15">
    <cfRule type="expression" priority="26" dxfId="0">
      <formula>$H15=3</formula>
    </cfRule>
    <cfRule type="expression" priority="27" dxfId="1">
      <formula>$H15=2</formula>
    </cfRule>
    <cfRule type="expression" priority="28" dxfId="2">
      <formula>$H15=1</formula>
    </cfRule>
  </conditionalFormatting>
  <conditionalFormatting sqref="G16">
    <cfRule type="expression" priority="29" dxfId="0">
      <formula>$H16=3</formula>
    </cfRule>
    <cfRule type="expression" priority="30" dxfId="1">
      <formula>$H16=2</formula>
    </cfRule>
    <cfRule type="expression" priority="31" dxfId="2">
      <formula>$H16=1</formula>
    </cfRule>
  </conditionalFormatting>
  <conditionalFormatting sqref="G18">
    <cfRule type="expression" priority="32" dxfId="0">
      <formula>$H18=3</formula>
    </cfRule>
    <cfRule type="expression" priority="33" dxfId="1">
      <formula>$H18=2</formula>
    </cfRule>
    <cfRule type="expression" priority="34" dxfId="2">
      <formula>$H18=1</formula>
    </cfRule>
  </conditionalFormatting>
  <conditionalFormatting sqref="G19">
    <cfRule type="expression" priority="35" dxfId="0">
      <formula>$H19=3</formula>
    </cfRule>
    <cfRule type="expression" priority="36" dxfId="1">
      <formula>$H19=2</formula>
    </cfRule>
    <cfRule type="expression" priority="37" dxfId="2">
      <formula>$H19=1</formula>
    </cfRule>
  </conditionalFormatting>
  <conditionalFormatting sqref="G20">
    <cfRule type="expression" priority="38" dxfId="0">
      <formula>$H20=3</formula>
    </cfRule>
    <cfRule type="expression" priority="39" dxfId="1">
      <formula>$H20=2</formula>
    </cfRule>
    <cfRule type="expression" priority="40" dxfId="2">
      <formula>$H20=1</formula>
    </cfRule>
  </conditionalFormatting>
  <conditionalFormatting sqref="G21">
    <cfRule type="expression" priority="41" dxfId="0">
      <formula>$H21=3</formula>
    </cfRule>
    <cfRule type="expression" priority="42" dxfId="1">
      <formula>$H21=2</formula>
    </cfRule>
    <cfRule type="expression" priority="43" dxfId="2">
      <formula>$H21=1</formula>
    </cfRule>
  </conditionalFormatting>
  <conditionalFormatting sqref="G22">
    <cfRule type="expression" priority="44" dxfId="0">
      <formula>$H22=3</formula>
    </cfRule>
    <cfRule type="expression" priority="45" dxfId="1">
      <formula>$H22=2</formula>
    </cfRule>
    <cfRule type="expression" priority="46" dxfId="2">
      <formula>$H22=1</formula>
    </cfRule>
  </conditionalFormatting>
  <conditionalFormatting sqref="G23">
    <cfRule type="expression" priority="47" dxfId="0">
      <formula>$H23=3</formula>
    </cfRule>
    <cfRule type="expression" priority="48" dxfId="1">
      <formula>$H23=2</formula>
    </cfRule>
    <cfRule type="expression" priority="49" dxfId="2">
      <formula>$H23=1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2026-06-11T12:32:16Z</dcterms:created>
  <dcterms:modified xmlns:dcterms="http://purl.org/dc/terms/" xmlns:xsi="http://www.w3.org/2001/XMLSchema-instance" xsi:type="dcterms:W3CDTF">2026-06-11T12:32:16Z</dcterms:modified>
</cp:coreProperties>
</file>